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NDRY\keuangan-app\data\"/>
    </mc:Choice>
  </mc:AlternateContent>
  <xr:revisionPtr revIDLastSave="0" documentId="8_{905DC52C-3110-434F-9073-37F0E0ED2BFC}" xr6:coauthVersionLast="47" xr6:coauthVersionMax="47" xr10:uidLastSave="{00000000-0000-0000-0000-000000000000}"/>
  <bookViews>
    <workbookView xWindow="-120" yWindow="-120" windowWidth="29040" windowHeight="16440" xr2:uid="{1172081E-8F43-4ADA-9126-2378305563B8}"/>
  </bookViews>
  <sheets>
    <sheet name="REKON" sheetId="1" r:id="rId1"/>
  </sheets>
  <externalReferences>
    <externalReference r:id="rId2"/>
    <externalReference r:id="rId3"/>
  </externalReferences>
  <definedNames>
    <definedName name="_xlnm.Print_Area" localSheetId="0">REKON!$A$1:$J$34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H21" i="1"/>
  <c r="D21" i="1"/>
  <c r="G21" i="1" s="1"/>
  <c r="C21" i="1"/>
  <c r="J20" i="1"/>
  <c r="I20" i="1"/>
  <c r="H20" i="1"/>
  <c r="G20" i="1" s="1"/>
  <c r="D20" i="1"/>
  <c r="C20" i="1"/>
  <c r="J19" i="1"/>
  <c r="I19" i="1"/>
  <c r="H19" i="1"/>
  <c r="D19" i="1"/>
  <c r="G19" i="1" s="1"/>
  <c r="C19" i="1"/>
  <c r="A19" i="1"/>
  <c r="B31" i="1" s="1"/>
  <c r="J18" i="1"/>
  <c r="I18" i="1"/>
  <c r="G18" i="1" s="1"/>
  <c r="H18" i="1"/>
  <c r="D18" i="1"/>
  <c r="C18" i="1"/>
  <c r="C22" i="1" s="1"/>
  <c r="D23" i="1" s="1"/>
  <c r="J17" i="1"/>
  <c r="I17" i="1"/>
  <c r="H17" i="1"/>
  <c r="G17" i="1"/>
  <c r="D17" i="1"/>
  <c r="C17" i="1"/>
  <c r="J16" i="1"/>
  <c r="I16" i="1"/>
  <c r="H16" i="1"/>
  <c r="E16" i="1"/>
  <c r="D16" i="1"/>
  <c r="G16" i="1" s="1"/>
  <c r="C16" i="1"/>
  <c r="J15" i="1"/>
  <c r="I15" i="1"/>
  <c r="H15" i="1"/>
  <c r="F15" i="1"/>
  <c r="E15" i="1"/>
  <c r="D15" i="1"/>
  <c r="G15" i="1" s="1"/>
  <c r="C15" i="1"/>
  <c r="J14" i="1"/>
  <c r="I14" i="1"/>
  <c r="H14" i="1"/>
  <c r="F14" i="1"/>
  <c r="E14" i="1"/>
  <c r="D14" i="1"/>
  <c r="G14" i="1" s="1"/>
  <c r="C14" i="1"/>
  <c r="A14" i="1"/>
  <c r="J13" i="1"/>
  <c r="I13" i="1"/>
  <c r="G13" i="1" s="1"/>
  <c r="H13" i="1"/>
  <c r="F13" i="1"/>
  <c r="E13" i="1"/>
  <c r="D13" i="1"/>
  <c r="C13" i="1"/>
  <c r="J12" i="1"/>
  <c r="I12" i="1"/>
  <c r="G12" i="1" s="1"/>
  <c r="H12" i="1"/>
  <c r="F12" i="1"/>
  <c r="E12" i="1"/>
  <c r="D12" i="1"/>
  <c r="C12" i="1"/>
  <c r="J11" i="1"/>
  <c r="I11" i="1"/>
  <c r="G11" i="1" s="1"/>
  <c r="H11" i="1"/>
  <c r="F11" i="1"/>
  <c r="E11" i="1"/>
  <c r="D11" i="1"/>
  <c r="C11" i="1"/>
  <c r="A11" i="1"/>
  <c r="J10" i="1"/>
  <c r="J22" i="1" s="1"/>
  <c r="C28" i="1" s="1"/>
  <c r="C33" i="1" s="1"/>
  <c r="I10" i="1"/>
  <c r="I22" i="1" s="1"/>
  <c r="C27" i="1" s="1"/>
  <c r="C32" i="1" s="1"/>
  <c r="H10" i="1"/>
  <c r="H22" i="1" s="1"/>
  <c r="C26" i="1" s="1"/>
  <c r="C31" i="1" s="1"/>
  <c r="F10" i="1"/>
  <c r="F22" i="1" s="1"/>
  <c r="E10" i="1"/>
  <c r="E22" i="1" s="1"/>
  <c r="D10" i="1"/>
  <c r="D22" i="1" s="1"/>
  <c r="C10" i="1"/>
  <c r="B26" i="1" l="1"/>
  <c r="D26" i="1" s="1"/>
  <c r="D31" i="1"/>
  <c r="G10" i="1"/>
  <c r="G22" i="1" s="1"/>
  <c r="A24" i="1"/>
  <c r="B33" i="1" s="1"/>
  <c r="B32" i="1"/>
  <c r="D33" i="1" l="1"/>
  <c r="B28" i="1"/>
  <c r="D28" i="1" s="1"/>
  <c r="B27" i="1"/>
  <c r="D27" i="1" s="1"/>
  <c r="D32" i="1"/>
</calcChain>
</file>

<file path=xl/sharedStrings.xml><?xml version="1.0" encoding="utf-8"?>
<sst xmlns="http://schemas.openxmlformats.org/spreadsheetml/2006/main" count="58" uniqueCount="50">
  <si>
    <t>FORMAT : PENGISIAN DATA KEUANGAN TAHUN ANGGARAN 2025</t>
  </si>
  <si>
    <t>DISAMPAIKAN PADA REVAT DAN REKON TAHUN ANGGARAN 2025</t>
  </si>
  <si>
    <t>UNTUK JEMAAT</t>
  </si>
  <si>
    <t>Tanggal : …..  Juli 2025</t>
  </si>
  <si>
    <t>Klasis : Pulau Ambon Timur</t>
  </si>
  <si>
    <t>Jemaat:</t>
  </si>
  <si>
    <t>GPM SULI</t>
  </si>
  <si>
    <t>PENETAPAN</t>
  </si>
  <si>
    <t xml:space="preserve">REALISASI PERBULAN / TAHUN </t>
  </si>
  <si>
    <t>APB-G TA 2024</t>
  </si>
  <si>
    <t xml:space="preserve">BULAN </t>
  </si>
  <si>
    <t>M U R N I</t>
  </si>
  <si>
    <t>U  K  P</t>
  </si>
  <si>
    <t>DANA 69 %</t>
  </si>
  <si>
    <t>DANA 30 %</t>
  </si>
  <si>
    <t>DANA YPPK 1 %</t>
  </si>
  <si>
    <t>DANA PENDAMPING</t>
  </si>
  <si>
    <t>PENDAPATAN</t>
  </si>
  <si>
    <t>BELANJA</t>
  </si>
  <si>
    <t>Pendapatan</t>
  </si>
  <si>
    <t xml:space="preserve">Januari </t>
  </si>
  <si>
    <t xml:space="preserve">Pebruari </t>
  </si>
  <si>
    <t>Maret</t>
  </si>
  <si>
    <t xml:space="preserve">Belanja </t>
  </si>
  <si>
    <t>April</t>
  </si>
  <si>
    <t xml:space="preserve">Mei </t>
  </si>
  <si>
    <t xml:space="preserve">Juni </t>
  </si>
  <si>
    <t xml:space="preserve">Juli </t>
  </si>
  <si>
    <t xml:space="preserve">Pendapatan Murni </t>
  </si>
  <si>
    <t xml:space="preserve">Agustus </t>
  </si>
  <si>
    <t>Tahun 2023</t>
  </si>
  <si>
    <t xml:space="preserve">September </t>
  </si>
  <si>
    <t xml:space="preserve">Oktober </t>
  </si>
  <si>
    <t xml:space="preserve">Nopember </t>
  </si>
  <si>
    <t xml:space="preserve">Desember </t>
  </si>
  <si>
    <t>JUMLAH</t>
  </si>
  <si>
    <t>SALDO AKHIR</t>
  </si>
  <si>
    <t>Tanggungan 6 Bln</t>
  </si>
  <si>
    <t>Penetapan</t>
  </si>
  <si>
    <t>Realisasi</t>
  </si>
  <si>
    <t>Selisih</t>
  </si>
  <si>
    <t>Majelis Jemaat GPM Suli</t>
  </si>
  <si>
    <t>Institusi 30%</t>
  </si>
  <si>
    <t>YPPK 1%</t>
  </si>
  <si>
    <t>K  e  t  u  a</t>
  </si>
  <si>
    <t>Bendahara</t>
  </si>
  <si>
    <t>Pendamping 7%</t>
  </si>
  <si>
    <t>Tanggungan 1 Thn</t>
  </si>
  <si>
    <t>Pdt F. M. Teslatu</t>
  </si>
  <si>
    <t>Pnt Ny. O. Tapilaha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</si>
</sst>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2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color theme="0"/>
      <name val="Tahoma"/>
      <family val="2"/>
    </font>
    <font>
      <sz val="12"/>
      <color theme="1"/>
      <name val="Tahoma"/>
      <family val="2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/>
    </xf>
    <xf numFmtId="9" fontId="3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5" fillId="0" borderId="1" xfId="1" applyFont="1" applyFill="1" applyBorder="1" applyAlignment="1">
      <alignment vertical="center"/>
    </xf>
    <xf numFmtId="164" fontId="6" fillId="0" borderId="1" xfId="1" applyFont="1" applyBorder="1" applyAlignment="1">
      <alignment vertical="center"/>
    </xf>
    <xf numFmtId="164" fontId="3" fillId="0" borderId="7" xfId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164" fontId="6" fillId="0" borderId="1" xfId="1" applyFont="1" applyBorder="1" applyAlignment="1">
      <alignment horizontal="right" vertical="center"/>
    </xf>
    <xf numFmtId="0" fontId="3" fillId="0" borderId="6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4" fontId="3" fillId="0" borderId="2" xfId="1" applyFont="1" applyBorder="1" applyAlignment="1">
      <alignment vertical="center"/>
    </xf>
    <xf numFmtId="164" fontId="6" fillId="0" borderId="0" xfId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9" fontId="6" fillId="0" borderId="1" xfId="0" applyNumberFormat="1" applyFont="1" applyBorder="1" applyAlignment="1">
      <alignment horizontal="right" vertical="center"/>
    </xf>
    <xf numFmtId="164" fontId="6" fillId="0" borderId="1" xfId="0" applyNumberFormat="1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/>
    </xf>
    <xf numFmtId="164" fontId="0" fillId="0" borderId="0" xfId="0" applyNumberFormat="1"/>
    <xf numFmtId="0" fontId="9" fillId="0" borderId="0" xfId="0" applyFont="1"/>
    <xf numFmtId="0" fontId="10" fillId="0" borderId="1" xfId="0" applyFont="1" applyBorder="1" applyAlignment="1">
      <alignment horizontal="center" vertical="center"/>
    </xf>
    <xf numFmtId="9" fontId="1" fillId="0" borderId="1" xfId="0" applyNumberFormat="1" applyFont="1" applyBorder="1" applyAlignment="1">
      <alignment horizontal="right"/>
    </xf>
    <xf numFmtId="164" fontId="0" fillId="0" borderId="1" xfId="0" applyNumberFormat="1" applyBorder="1" applyAlignment="1">
      <alignment vertic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0" fontId="11" fillId="0" borderId="0" xfId="0" quotePrefix="1" applyFont="1" applyAlignment="1">
      <alignment horizontal="center"/>
    </xf>
    <xf numFmtId="0" fontId="1" fillId="0" borderId="1" xfId="0" applyFont="1" applyBorder="1" applyAlignment="1">
      <alignment horizontal="right"/>
    </xf>
  </cellXfs>
  <cellStyles count="2">
    <cellStyle name="Comma [0] 2 2" xfId="1" xr:uid="{AE72F6D0-4762-482F-90B9-76EB13506D9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ENDAHARA/2026/APLIKASI%20KEUANGAN%20TAHU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Data%20Rekon%20Jemaat2%20Klasis%20PAT%20semester%201%20Thn%20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ORSCRIEFT2"/>
      <sheetName val="DATA BASE"/>
      <sheetName val="SUB SEKSI"/>
      <sheetName val="BELANJA PERBULAN"/>
      <sheetName val="PENDAPATAN PERBULAN"/>
      <sheetName val="REALISASI PERBULAN"/>
      <sheetName val="REKON"/>
      <sheetName val="KOMP. PENDAPATAN"/>
      <sheetName val="RANCANGAN ANGGARAN 2025"/>
      <sheetName val="KOMP. BELANJA"/>
      <sheetName val="BATANG TUBUH"/>
      <sheetName val="RANCANGAN ANGGARAN 2026"/>
    </sheetNames>
    <sheetDataSet>
      <sheetData sheetId="0"/>
      <sheetData sheetId="1"/>
      <sheetData sheetId="2"/>
      <sheetData sheetId="3">
        <row r="13">
          <cell r="C13">
            <v>0</v>
          </cell>
          <cell r="D13">
            <v>50353039</v>
          </cell>
          <cell r="F13">
            <v>50353039</v>
          </cell>
          <cell r="G13">
            <v>50353039</v>
          </cell>
          <cell r="H13">
            <v>50353039</v>
          </cell>
          <cell r="J13">
            <v>50353039</v>
          </cell>
          <cell r="K13">
            <v>50353039</v>
          </cell>
          <cell r="L13">
            <v>100706078</v>
          </cell>
          <cell r="M13">
            <v>50353039</v>
          </cell>
          <cell r="N13">
            <v>50353039</v>
          </cell>
          <cell r="O13">
            <v>50353039</v>
          </cell>
        </row>
        <row r="14">
          <cell r="C14">
            <v>1678435</v>
          </cell>
          <cell r="D14">
            <v>1678435</v>
          </cell>
          <cell r="F14">
            <v>1678435</v>
          </cell>
          <cell r="G14">
            <v>1678435</v>
          </cell>
          <cell r="H14">
            <v>1678435</v>
          </cell>
          <cell r="J14">
            <v>1678435</v>
          </cell>
          <cell r="K14">
            <v>1678435</v>
          </cell>
          <cell r="L14">
            <v>1678435</v>
          </cell>
          <cell r="M14">
            <v>1678435</v>
          </cell>
          <cell r="N14">
            <v>1678435</v>
          </cell>
          <cell r="O14">
            <v>1678435</v>
          </cell>
        </row>
        <row r="15">
          <cell r="C15">
            <v>8106839</v>
          </cell>
          <cell r="D15">
            <v>8106839</v>
          </cell>
          <cell r="E15">
            <v>8106839</v>
          </cell>
          <cell r="F15">
            <v>8106839</v>
          </cell>
          <cell r="G15">
            <v>8106839</v>
          </cell>
          <cell r="H15">
            <v>8106839</v>
          </cell>
          <cell r="J15">
            <v>8106839</v>
          </cell>
          <cell r="K15">
            <v>8106839</v>
          </cell>
          <cell r="L15">
            <v>8106839</v>
          </cell>
          <cell r="M15">
            <v>8106839</v>
          </cell>
          <cell r="N15">
            <v>8106839</v>
          </cell>
        </row>
        <row r="146">
          <cell r="C146">
            <v>140690955</v>
          </cell>
          <cell r="D146">
            <v>133209892</v>
          </cell>
          <cell r="E146">
            <v>200967382</v>
          </cell>
          <cell r="F146">
            <v>174740813</v>
          </cell>
          <cell r="G146">
            <v>166555345</v>
          </cell>
          <cell r="H146">
            <v>176020648</v>
          </cell>
          <cell r="J146">
            <v>155593157</v>
          </cell>
          <cell r="K146">
            <v>138890174</v>
          </cell>
          <cell r="L146">
            <v>235334402</v>
          </cell>
          <cell r="M146">
            <v>177457059</v>
          </cell>
          <cell r="N146">
            <v>194924413</v>
          </cell>
          <cell r="O146">
            <v>283802283</v>
          </cell>
        </row>
        <row r="159">
          <cell r="C159">
            <v>0</v>
          </cell>
          <cell r="D159">
            <v>0</v>
          </cell>
          <cell r="E159">
            <v>1221000</v>
          </cell>
          <cell r="F159">
            <v>0</v>
          </cell>
          <cell r="G159">
            <v>1066000</v>
          </cell>
          <cell r="H159">
            <v>0</v>
          </cell>
        </row>
      </sheetData>
      <sheetData sheetId="4">
        <row r="168">
          <cell r="C168">
            <v>170765575</v>
          </cell>
          <cell r="D168">
            <v>134597000</v>
          </cell>
          <cell r="E168">
            <v>183619200</v>
          </cell>
          <cell r="F168">
            <v>183125400</v>
          </cell>
          <cell r="G168">
            <v>160755500</v>
          </cell>
          <cell r="H168">
            <v>196155000</v>
          </cell>
          <cell r="J168">
            <v>148666000</v>
          </cell>
          <cell r="K168">
            <v>182816000</v>
          </cell>
          <cell r="L168">
            <v>213422100</v>
          </cell>
          <cell r="M168">
            <v>197719700</v>
          </cell>
          <cell r="N168">
            <v>163520600</v>
          </cell>
          <cell r="O168">
            <v>268010800</v>
          </cell>
        </row>
        <row r="182">
          <cell r="C182">
            <v>0</v>
          </cell>
          <cell r="D182">
            <v>0</v>
          </cell>
          <cell r="E182">
            <v>1221000</v>
          </cell>
          <cell r="F182">
            <v>0</v>
          </cell>
          <cell r="G182">
            <v>1066000</v>
          </cell>
          <cell r="H182">
            <v>0</v>
          </cell>
          <cell r="J182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emaat"/>
      <sheetName val="D.I 30%"/>
      <sheetName val="YPPK 1%"/>
      <sheetName val="DS 7%"/>
      <sheetName val="REKAP"/>
      <sheetName val="TJem"/>
    </sheetNames>
    <sheetDataSet>
      <sheetData sheetId="0">
        <row r="11">
          <cell r="B11">
            <v>2069034756</v>
          </cell>
        </row>
        <row r="12">
          <cell r="I12">
            <v>50353089</v>
          </cell>
          <cell r="J12">
            <v>1676435</v>
          </cell>
        </row>
        <row r="14">
          <cell r="B14">
            <v>2069034756</v>
          </cell>
        </row>
        <row r="19">
          <cell r="B19">
            <v>2014121542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23DB-C8B6-4B83-965B-7CE78FC9E1FF}">
  <sheetPr>
    <tabColor rgb="FF7030A0"/>
    <pageSetUpPr fitToPage="1"/>
  </sheetPr>
  <dimension ref="A1:J33"/>
  <sheetViews>
    <sheetView showGridLines="0" tabSelected="1" showWhiteSpace="0" view="pageBreakPreview" zoomScale="85" zoomScaleNormal="100" zoomScaleSheetLayoutView="85" zoomScalePageLayoutView="85" workbookViewId="0">
      <selection activeCell="B42" sqref="B42"/>
    </sheetView>
  </sheetViews>
  <sheetFormatPr defaultRowHeight="15" x14ac:dyDescent="0.25"/>
  <cols>
    <col min="1" max="1" width="28.5703125" bestFit="1" customWidth="1"/>
    <col min="2" max="2" width="15" bestFit="1" customWidth="1"/>
    <col min="3" max="4" width="20" bestFit="1" customWidth="1"/>
    <col min="5" max="5" width="15" customWidth="1"/>
    <col min="6" max="6" width="14.85546875" bestFit="1" customWidth="1"/>
    <col min="7" max="7" width="20" bestFit="1" customWidth="1"/>
    <col min="8" max="8" width="17.85546875" bestFit="1" customWidth="1"/>
    <col min="9" max="9" width="16.28515625" bestFit="1" customWidth="1"/>
    <col min="10" max="10" width="19.7109375" bestFit="1" customWidth="1"/>
  </cols>
  <sheetData>
    <row r="1" spans="1:10" ht="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18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18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18" x14ac:dyDescent="0.25">
      <c r="A4" s="2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4</v>
      </c>
      <c r="B5" s="4"/>
      <c r="C5" s="4"/>
      <c r="D5" s="4"/>
      <c r="E5" s="4"/>
      <c r="F5" s="4"/>
      <c r="G5" s="4"/>
      <c r="H5" s="4"/>
      <c r="I5" s="5" t="s">
        <v>5</v>
      </c>
      <c r="J5" s="5" t="s">
        <v>6</v>
      </c>
    </row>
    <row r="6" spans="1:10" x14ac:dyDescent="0.25">
      <c r="A6" s="6" t="s">
        <v>7</v>
      </c>
      <c r="B6" s="7" t="s">
        <v>8</v>
      </c>
      <c r="C6" s="8"/>
      <c r="D6" s="8"/>
      <c r="E6" s="8"/>
      <c r="F6" s="8"/>
      <c r="G6" s="8"/>
      <c r="H6" s="8"/>
      <c r="I6" s="8"/>
      <c r="J6" s="9"/>
    </row>
    <row r="7" spans="1:10" x14ac:dyDescent="0.25">
      <c r="A7" s="10" t="s">
        <v>9</v>
      </c>
      <c r="B7" s="10" t="s">
        <v>10</v>
      </c>
      <c r="C7" s="11" t="s">
        <v>11</v>
      </c>
      <c r="D7" s="12"/>
      <c r="E7" s="11" t="s">
        <v>12</v>
      </c>
      <c r="F7" s="12"/>
      <c r="G7" s="10" t="s">
        <v>13</v>
      </c>
      <c r="H7" s="13" t="s">
        <v>14</v>
      </c>
      <c r="I7" s="14" t="s">
        <v>15</v>
      </c>
      <c r="J7" s="14" t="s">
        <v>16</v>
      </c>
    </row>
    <row r="8" spans="1:10" ht="28.5" x14ac:dyDescent="0.25">
      <c r="A8" s="15"/>
      <c r="B8" s="15"/>
      <c r="C8" s="16" t="s">
        <v>17</v>
      </c>
      <c r="D8" s="16" t="s">
        <v>18</v>
      </c>
      <c r="E8" s="16" t="s">
        <v>17</v>
      </c>
      <c r="F8" s="16" t="s">
        <v>18</v>
      </c>
      <c r="G8" s="15"/>
      <c r="H8" s="17"/>
      <c r="I8" s="18"/>
      <c r="J8" s="18"/>
    </row>
    <row r="9" spans="1:10" x14ac:dyDescent="0.25">
      <c r="A9" s="19">
        <v>1</v>
      </c>
      <c r="B9" s="6">
        <v>2</v>
      </c>
      <c r="C9" s="6">
        <v>3</v>
      </c>
      <c r="D9" s="6">
        <v>4</v>
      </c>
      <c r="E9" s="20">
        <v>5</v>
      </c>
      <c r="F9" s="21">
        <v>6</v>
      </c>
      <c r="G9" s="21">
        <v>7</v>
      </c>
      <c r="H9" s="21">
        <v>8</v>
      </c>
      <c r="I9" s="21">
        <v>9</v>
      </c>
      <c r="J9" s="21">
        <v>10</v>
      </c>
    </row>
    <row r="10" spans="1:10" x14ac:dyDescent="0.25">
      <c r="A10" s="22" t="s">
        <v>19</v>
      </c>
      <c r="B10" s="23" t="s">
        <v>20</v>
      </c>
      <c r="C10" s="24">
        <f>'[1]PENDAPATAN PERBULAN'!C168</f>
        <v>170765575</v>
      </c>
      <c r="D10" s="25">
        <f>'[1]BELANJA PERBULAN'!C146</f>
        <v>140690955</v>
      </c>
      <c r="E10" s="25">
        <f>'[1]PENDAPATAN PERBULAN'!C182</f>
        <v>0</v>
      </c>
      <c r="F10" s="25">
        <f>'[1]BELANJA PERBULAN'!C159</f>
        <v>0</v>
      </c>
      <c r="G10" s="25">
        <f>D10-H10-I10</f>
        <v>139012520</v>
      </c>
      <c r="H10" s="25">
        <f>'[1]BELANJA PERBULAN'!C13</f>
        <v>0</v>
      </c>
      <c r="I10" s="25">
        <f>'[1]BELANJA PERBULAN'!C14</f>
        <v>1678435</v>
      </c>
      <c r="J10" s="25">
        <f>'[1]BELANJA PERBULAN'!C15</f>
        <v>8106839</v>
      </c>
    </row>
    <row r="11" spans="1:10" x14ac:dyDescent="0.25">
      <c r="A11" s="26">
        <f>[2]Jemaat!$B$11</f>
        <v>2069034756</v>
      </c>
      <c r="B11" s="23" t="s">
        <v>21</v>
      </c>
      <c r="C11" s="25">
        <f>'[1]PENDAPATAN PERBULAN'!D168</f>
        <v>134597000</v>
      </c>
      <c r="D11" s="25">
        <f>'[1]BELANJA PERBULAN'!D146</f>
        <v>133209892</v>
      </c>
      <c r="E11" s="25">
        <f>'[1]PENDAPATAN PERBULAN'!D182</f>
        <v>0</v>
      </c>
      <c r="F11" s="25">
        <f>'[1]BELANJA PERBULAN'!D159</f>
        <v>0</v>
      </c>
      <c r="G11" s="25">
        <f>D11-H11-I11</f>
        <v>81178418</v>
      </c>
      <c r="H11" s="25">
        <f>'[1]BELANJA PERBULAN'!D13</f>
        <v>50353039</v>
      </c>
      <c r="I11" s="25">
        <f>'[1]BELANJA PERBULAN'!D14</f>
        <v>1678435</v>
      </c>
      <c r="J11" s="25">
        <f>'[1]BELANJA PERBULAN'!D15</f>
        <v>8106839</v>
      </c>
    </row>
    <row r="12" spans="1:10" x14ac:dyDescent="0.25">
      <c r="A12" s="27"/>
      <c r="B12" s="23" t="s">
        <v>22</v>
      </c>
      <c r="C12" s="25">
        <f>'[1]PENDAPATAN PERBULAN'!E168</f>
        <v>183619200</v>
      </c>
      <c r="D12" s="25">
        <f>'[1]BELANJA PERBULAN'!E146</f>
        <v>200967382</v>
      </c>
      <c r="E12" s="25">
        <f>'[1]PENDAPATAN PERBULAN'!E182</f>
        <v>1221000</v>
      </c>
      <c r="F12" s="25">
        <f>'[1]BELANJA PERBULAN'!E159</f>
        <v>1221000</v>
      </c>
      <c r="G12" s="25">
        <f t="shared" ref="G12:G15" si="0">D12-H12-I12</f>
        <v>148937858</v>
      </c>
      <c r="H12" s="25">
        <f>[2]Jemaat!$I$12</f>
        <v>50353089</v>
      </c>
      <c r="I12" s="25">
        <f>[2]Jemaat!$J$12</f>
        <v>1676435</v>
      </c>
      <c r="J12" s="25">
        <f>'[1]BELANJA PERBULAN'!E15</f>
        <v>8106839</v>
      </c>
    </row>
    <row r="13" spans="1:10" x14ac:dyDescent="0.25">
      <c r="A13" s="27" t="s">
        <v>23</v>
      </c>
      <c r="B13" s="23" t="s">
        <v>24</v>
      </c>
      <c r="C13" s="25">
        <f>'[1]PENDAPATAN PERBULAN'!F168</f>
        <v>183125400</v>
      </c>
      <c r="D13" s="25">
        <f>'[1]BELANJA PERBULAN'!F146</f>
        <v>174740813</v>
      </c>
      <c r="E13" s="25">
        <f>'[1]PENDAPATAN PERBULAN'!F182</f>
        <v>0</v>
      </c>
      <c r="F13" s="25">
        <f>'[1]BELANJA PERBULAN'!F159</f>
        <v>0</v>
      </c>
      <c r="G13" s="25">
        <f t="shared" si="0"/>
        <v>122709339</v>
      </c>
      <c r="H13" s="25">
        <f>'[1]BELANJA PERBULAN'!F13</f>
        <v>50353039</v>
      </c>
      <c r="I13" s="25">
        <f>'[1]BELANJA PERBULAN'!F14</f>
        <v>1678435</v>
      </c>
      <c r="J13" s="25">
        <f>'[1]BELANJA PERBULAN'!F15</f>
        <v>8106839</v>
      </c>
    </row>
    <row r="14" spans="1:10" x14ac:dyDescent="0.25">
      <c r="A14" s="26">
        <f>[2]Jemaat!$B$14</f>
        <v>2069034756</v>
      </c>
      <c r="B14" s="23" t="s">
        <v>25</v>
      </c>
      <c r="C14" s="25">
        <f>'[1]PENDAPATAN PERBULAN'!G168</f>
        <v>160755500</v>
      </c>
      <c r="D14" s="25">
        <f>'[1]BELANJA PERBULAN'!G146</f>
        <v>166555345</v>
      </c>
      <c r="E14" s="25">
        <f>'[1]PENDAPATAN PERBULAN'!G182</f>
        <v>1066000</v>
      </c>
      <c r="F14" s="25">
        <f>'[1]BELANJA PERBULAN'!G159</f>
        <v>1066000</v>
      </c>
      <c r="G14" s="25">
        <f t="shared" si="0"/>
        <v>114523871</v>
      </c>
      <c r="H14" s="25">
        <f>'[1]BELANJA PERBULAN'!G13</f>
        <v>50353039</v>
      </c>
      <c r="I14" s="25">
        <f>'[1]BELANJA PERBULAN'!G14</f>
        <v>1678435</v>
      </c>
      <c r="J14" s="25">
        <f>'[1]BELANJA PERBULAN'!G15</f>
        <v>8106839</v>
      </c>
    </row>
    <row r="15" spans="1:10" x14ac:dyDescent="0.25">
      <c r="A15" s="27"/>
      <c r="B15" s="23" t="s">
        <v>26</v>
      </c>
      <c r="C15" s="25">
        <f>'[1]PENDAPATAN PERBULAN'!H168</f>
        <v>196155000</v>
      </c>
      <c r="D15" s="25">
        <f>'[1]BELANJA PERBULAN'!H146</f>
        <v>176020648</v>
      </c>
      <c r="E15" s="25">
        <f>'[1]PENDAPATAN PERBULAN'!H182</f>
        <v>0</v>
      </c>
      <c r="F15" s="25">
        <f>'[1]BELANJA PERBULAN'!H159</f>
        <v>0</v>
      </c>
      <c r="G15" s="25">
        <f>D15-H15-I15</f>
        <v>123989174</v>
      </c>
      <c r="H15" s="25">
        <f>'[1]BELANJA PERBULAN'!H13</f>
        <v>50353039</v>
      </c>
      <c r="I15" s="25">
        <f>'[1]BELANJA PERBULAN'!H14</f>
        <v>1678435</v>
      </c>
      <c r="J15" s="25">
        <f>'[1]BELANJA PERBULAN'!H15</f>
        <v>8106839</v>
      </c>
    </row>
    <row r="16" spans="1:10" x14ac:dyDescent="0.25">
      <c r="A16" s="27"/>
      <c r="B16" s="23" t="s">
        <v>27</v>
      </c>
      <c r="C16" s="25">
        <f>'[1]PENDAPATAN PERBULAN'!J168</f>
        <v>148666000</v>
      </c>
      <c r="D16" s="25">
        <f>'[1]BELANJA PERBULAN'!J146</f>
        <v>155593157</v>
      </c>
      <c r="E16" s="25">
        <f>'[1]PENDAPATAN PERBULAN'!J182</f>
        <v>0</v>
      </c>
      <c r="F16" s="25"/>
      <c r="G16" s="25">
        <f>D16-H16-I16</f>
        <v>103561683</v>
      </c>
      <c r="H16" s="25">
        <f>'[1]BELANJA PERBULAN'!J13</f>
        <v>50353039</v>
      </c>
      <c r="I16" s="25">
        <f>'[1]BELANJA PERBULAN'!J14</f>
        <v>1678435</v>
      </c>
      <c r="J16" s="25">
        <f>'[1]BELANJA PERBULAN'!J15</f>
        <v>8106839</v>
      </c>
    </row>
    <row r="17" spans="1:10" x14ac:dyDescent="0.25">
      <c r="A17" s="27" t="s">
        <v>28</v>
      </c>
      <c r="B17" s="23" t="s">
        <v>29</v>
      </c>
      <c r="C17" s="25">
        <f>'[1]PENDAPATAN PERBULAN'!K168</f>
        <v>182816000</v>
      </c>
      <c r="D17" s="25">
        <f>'[1]BELANJA PERBULAN'!K146</f>
        <v>138890174</v>
      </c>
      <c r="E17" s="25"/>
      <c r="F17" s="25"/>
      <c r="G17" s="28">
        <f t="shared" ref="G17:G21" si="1">D17-H17-I17</f>
        <v>86858700</v>
      </c>
      <c r="H17" s="25">
        <f>'[1]BELANJA PERBULAN'!K13</f>
        <v>50353039</v>
      </c>
      <c r="I17" s="25">
        <f>'[1]BELANJA PERBULAN'!K14</f>
        <v>1678435</v>
      </c>
      <c r="J17" s="25">
        <f>'[1]BELANJA PERBULAN'!K15</f>
        <v>8106839</v>
      </c>
    </row>
    <row r="18" spans="1:10" x14ac:dyDescent="0.25">
      <c r="A18" s="27" t="s">
        <v>30</v>
      </c>
      <c r="B18" s="23" t="s">
        <v>31</v>
      </c>
      <c r="C18" s="25">
        <f>'[1]PENDAPATAN PERBULAN'!L168</f>
        <v>213422100</v>
      </c>
      <c r="D18" s="25">
        <f>'[1]BELANJA PERBULAN'!L146</f>
        <v>235334402</v>
      </c>
      <c r="E18" s="25"/>
      <c r="F18" s="25"/>
      <c r="G18" s="28">
        <f t="shared" si="1"/>
        <v>132949889</v>
      </c>
      <c r="H18" s="25">
        <f>'[1]BELANJA PERBULAN'!L13</f>
        <v>100706078</v>
      </c>
      <c r="I18" s="25">
        <f>'[1]BELANJA PERBULAN'!L14</f>
        <v>1678435</v>
      </c>
      <c r="J18" s="25">
        <f>'[1]BELANJA PERBULAN'!L15</f>
        <v>8106839</v>
      </c>
    </row>
    <row r="19" spans="1:10" x14ac:dyDescent="0.25">
      <c r="A19" s="26">
        <f>[2]Jemaat!$B$19</f>
        <v>2014121542</v>
      </c>
      <c r="B19" s="23" t="s">
        <v>32</v>
      </c>
      <c r="C19" s="25">
        <f>'[1]PENDAPATAN PERBULAN'!M168</f>
        <v>197719700</v>
      </c>
      <c r="D19" s="25">
        <f>'[1]BELANJA PERBULAN'!M146</f>
        <v>177457059</v>
      </c>
      <c r="E19" s="25"/>
      <c r="F19" s="25"/>
      <c r="G19" s="28">
        <f t="shared" si="1"/>
        <v>125425585</v>
      </c>
      <c r="H19" s="25">
        <f>'[1]BELANJA PERBULAN'!M13</f>
        <v>50353039</v>
      </c>
      <c r="I19" s="25">
        <f>'[1]BELANJA PERBULAN'!M14</f>
        <v>1678435</v>
      </c>
      <c r="J19" s="25">
        <f>'[1]BELANJA PERBULAN'!M15</f>
        <v>8106839</v>
      </c>
    </row>
    <row r="20" spans="1:10" x14ac:dyDescent="0.25">
      <c r="A20" s="27"/>
      <c r="B20" s="23" t="s">
        <v>33</v>
      </c>
      <c r="C20" s="25">
        <f>'[1]PENDAPATAN PERBULAN'!N168</f>
        <v>163520600</v>
      </c>
      <c r="D20" s="25">
        <f>'[1]BELANJA PERBULAN'!N146</f>
        <v>194924413</v>
      </c>
      <c r="E20" s="25"/>
      <c r="F20" s="25"/>
      <c r="G20" s="28">
        <f t="shared" si="1"/>
        <v>142892939</v>
      </c>
      <c r="H20" s="25">
        <f>'[1]BELANJA PERBULAN'!N13</f>
        <v>50353039</v>
      </c>
      <c r="I20" s="25">
        <f>'[1]BELANJA PERBULAN'!N14</f>
        <v>1678435</v>
      </c>
      <c r="J20" s="25">
        <f>'[1]BELANJA PERBULAN'!N15</f>
        <v>8106839</v>
      </c>
    </row>
    <row r="21" spans="1:10" x14ac:dyDescent="0.25">
      <c r="A21" s="29"/>
      <c r="B21" s="23" t="s">
        <v>34</v>
      </c>
      <c r="C21" s="25">
        <f>'[1]PENDAPATAN PERBULAN'!O168</f>
        <v>268010800</v>
      </c>
      <c r="D21" s="25">
        <f>'[1]BELANJA PERBULAN'!O146</f>
        <v>283802283</v>
      </c>
      <c r="E21" s="25"/>
      <c r="F21" s="25"/>
      <c r="G21" s="28">
        <f t="shared" si="1"/>
        <v>231770809</v>
      </c>
      <c r="H21" s="25">
        <f>'[1]BELANJA PERBULAN'!O13</f>
        <v>50353039</v>
      </c>
      <c r="I21" s="25">
        <f>'[1]BELANJA PERBULAN'!O14</f>
        <v>1678435</v>
      </c>
      <c r="J21" s="25">
        <v>8106839</v>
      </c>
    </row>
    <row r="22" spans="1:10" x14ac:dyDescent="0.25">
      <c r="A22" s="7" t="s">
        <v>35</v>
      </c>
      <c r="B22" s="9"/>
      <c r="C22" s="30">
        <f>SUM(C10:C21)</f>
        <v>2203172875</v>
      </c>
      <c r="D22" s="30">
        <f>SUM(D10:D21)</f>
        <v>2178186523</v>
      </c>
      <c r="E22" s="30">
        <f t="shared" ref="E22:F22" si="2">SUM(E10:E21)</f>
        <v>2287000</v>
      </c>
      <c r="F22" s="30">
        <f t="shared" si="2"/>
        <v>2287000</v>
      </c>
      <c r="G22" s="30">
        <f>SUM(G10:G21)</f>
        <v>1553810785</v>
      </c>
      <c r="H22" s="30">
        <f>SUM(H10:H21)</f>
        <v>604236518</v>
      </c>
      <c r="I22" s="30">
        <f>SUM(I10:I21)</f>
        <v>20139220</v>
      </c>
      <c r="J22" s="30">
        <f>SUM(J10:J21)</f>
        <v>97282068</v>
      </c>
    </row>
    <row r="23" spans="1:10" x14ac:dyDescent="0.25">
      <c r="A23" s="31"/>
      <c r="B23" s="31"/>
      <c r="C23" s="32" t="s">
        <v>36</v>
      </c>
      <c r="D23" s="30">
        <f>C22-D22</f>
        <v>24986352</v>
      </c>
      <c r="E23" s="33"/>
      <c r="F23" s="34"/>
      <c r="G23" s="33"/>
      <c r="H23" s="33"/>
      <c r="I23" s="33"/>
      <c r="J23" s="33"/>
    </row>
    <row r="24" spans="1:10" x14ac:dyDescent="0.25">
      <c r="A24" s="35">
        <f>A19-B31-B32</f>
        <v>1389743863.98</v>
      </c>
      <c r="B24" s="36"/>
      <c r="C24" s="36"/>
      <c r="D24" s="36"/>
      <c r="E24" s="36"/>
      <c r="F24" s="36"/>
      <c r="G24" s="36"/>
      <c r="H24" s="36"/>
      <c r="I24" s="36"/>
      <c r="J24" s="36"/>
    </row>
    <row r="25" spans="1:10" x14ac:dyDescent="0.25">
      <c r="A25" s="6" t="s">
        <v>37</v>
      </c>
      <c r="B25" s="6" t="s">
        <v>38</v>
      </c>
      <c r="C25" s="6" t="s">
        <v>39</v>
      </c>
      <c r="D25" s="6" t="s">
        <v>40</v>
      </c>
      <c r="E25" s="37" t="s">
        <v>41</v>
      </c>
      <c r="F25" s="37"/>
      <c r="G25" s="37"/>
      <c r="H25" s="37"/>
      <c r="I25" s="37"/>
      <c r="J25" s="37"/>
    </row>
    <row r="26" spans="1:10" x14ac:dyDescent="0.25">
      <c r="A26" s="38" t="s">
        <v>42</v>
      </c>
      <c r="B26" s="39">
        <f>B31/2</f>
        <v>302118231.30000001</v>
      </c>
      <c r="C26" s="39">
        <f>H22</f>
        <v>604236518</v>
      </c>
      <c r="D26" s="40">
        <f>B26-C26</f>
        <v>-302118286.69999999</v>
      </c>
      <c r="E26" s="41"/>
      <c r="F26" s="41"/>
      <c r="G26" s="41"/>
      <c r="H26" s="41"/>
      <c r="I26" s="41"/>
      <c r="J26" s="41"/>
    </row>
    <row r="27" spans="1:10" x14ac:dyDescent="0.25">
      <c r="A27" s="38" t="s">
        <v>43</v>
      </c>
      <c r="B27" s="39">
        <f>B32/2</f>
        <v>10070607.710000001</v>
      </c>
      <c r="C27" s="39">
        <f>I22</f>
        <v>20139220</v>
      </c>
      <c r="D27" s="40">
        <f>B27-C27</f>
        <v>-10068612.289999999</v>
      </c>
      <c r="E27" s="37" t="s">
        <v>44</v>
      </c>
      <c r="F27" s="37"/>
      <c r="G27" s="37"/>
      <c r="H27" s="37" t="s">
        <v>45</v>
      </c>
      <c r="I27" s="37"/>
      <c r="J27" s="37"/>
    </row>
    <row r="28" spans="1:10" x14ac:dyDescent="0.25">
      <c r="A28" s="42" t="s">
        <v>46</v>
      </c>
      <c r="B28" s="39">
        <f>B33/2</f>
        <v>48641035.239300005</v>
      </c>
      <c r="C28" s="39">
        <f>J22</f>
        <v>97282068</v>
      </c>
      <c r="D28" s="40">
        <f>B28-C28</f>
        <v>-48641032.760699995</v>
      </c>
      <c r="E28" s="36"/>
      <c r="F28" s="36"/>
      <c r="G28" s="36"/>
      <c r="H28" s="36"/>
      <c r="I28" s="36"/>
      <c r="J28" s="36"/>
    </row>
    <row r="29" spans="1:10" ht="15.75" x14ac:dyDescent="0.25">
      <c r="B29" s="43"/>
      <c r="E29" s="44"/>
      <c r="F29" s="44"/>
      <c r="G29" s="44"/>
      <c r="H29" s="44"/>
      <c r="I29" s="44"/>
      <c r="J29" s="44"/>
    </row>
    <row r="30" spans="1:10" ht="15.75" x14ac:dyDescent="0.25">
      <c r="A30" s="45" t="s">
        <v>47</v>
      </c>
      <c r="B30" s="45" t="s">
        <v>38</v>
      </c>
      <c r="C30" s="45" t="s">
        <v>39</v>
      </c>
      <c r="D30" s="45" t="s">
        <v>40</v>
      </c>
      <c r="E30" s="44"/>
      <c r="F30" s="44"/>
      <c r="G30" s="44"/>
      <c r="H30" s="44"/>
      <c r="I30" s="44"/>
      <c r="J30" s="44"/>
    </row>
    <row r="31" spans="1:10" ht="15.75" x14ac:dyDescent="0.25">
      <c r="A31" s="46" t="s">
        <v>42</v>
      </c>
      <c r="B31" s="47">
        <f>A19*30%</f>
        <v>604236462.60000002</v>
      </c>
      <c r="C31" s="48">
        <f>C26</f>
        <v>604236518</v>
      </c>
      <c r="D31" s="49">
        <f>B31-C31</f>
        <v>-55.399999976158142</v>
      </c>
      <c r="E31" s="50" t="s">
        <v>48</v>
      </c>
      <c r="F31" s="50"/>
      <c r="G31" s="50"/>
      <c r="H31" s="50" t="s">
        <v>49</v>
      </c>
      <c r="I31" s="50"/>
      <c r="J31" s="50"/>
    </row>
    <row r="32" spans="1:10" ht="15.75" x14ac:dyDescent="0.25">
      <c r="A32" s="46" t="s">
        <v>43</v>
      </c>
      <c r="B32" s="47">
        <f>A19*1%</f>
        <v>20141215.420000002</v>
      </c>
      <c r="C32" s="48">
        <f>C27</f>
        <v>20139220</v>
      </c>
      <c r="D32" s="49">
        <f>B32-C32</f>
        <v>1995.4200000017881</v>
      </c>
      <c r="E32" s="44"/>
      <c r="F32" s="44"/>
      <c r="G32" s="44"/>
      <c r="H32" s="44"/>
      <c r="I32" s="44"/>
      <c r="J32" s="44"/>
    </row>
    <row r="33" spans="1:10" ht="15.75" x14ac:dyDescent="0.25">
      <c r="A33" s="51" t="s">
        <v>46</v>
      </c>
      <c r="B33" s="47">
        <f>A24*7%</f>
        <v>97282070.47860001</v>
      </c>
      <c r="C33" s="48">
        <f>C28</f>
        <v>97282068</v>
      </c>
      <c r="D33" s="49">
        <f>B33-C33</f>
        <v>2.4786000102758408</v>
      </c>
      <c r="E33" s="44"/>
      <c r="F33" s="44"/>
      <c r="G33" s="44"/>
      <c r="H33" s="44"/>
      <c r="I33" s="44"/>
      <c r="J33" s="44"/>
    </row>
  </sheetData>
  <sheetProtection selectLockedCells="1" selectUnlockedCells="1"/>
  <mergeCells count="18">
    <mergeCell ref="E31:G31"/>
    <mergeCell ref="H31:J31"/>
    <mergeCell ref="I7:I8"/>
    <mergeCell ref="J7:J8"/>
    <mergeCell ref="A22:B22"/>
    <mergeCell ref="E25:J25"/>
    <mergeCell ref="E27:G27"/>
    <mergeCell ref="H27:J27"/>
    <mergeCell ref="A1:J1"/>
    <mergeCell ref="A2:J2"/>
    <mergeCell ref="A3:J3"/>
    <mergeCell ref="B6:J6"/>
    <mergeCell ref="A7:A8"/>
    <mergeCell ref="B7:B8"/>
    <mergeCell ref="C7:D7"/>
    <mergeCell ref="E7:F7"/>
    <mergeCell ref="G7:G8"/>
    <mergeCell ref="H7:H8"/>
  </mergeCells>
  <pageMargins left="0.25" right="0.25" top="0.75" bottom="0.75" header="0.3" footer="0.3"/>
  <pageSetup paperSize="256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REKON</vt:lpstr>
      <vt:lpstr>REKON!Print_Area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2026-07-09T01:03:24Z</dcterms:created>
  <dcterms:modified xsi:type="dcterms:W3CDTF">2026-07-09T01:04:06Z</dcterms:modified>
</cp:coreProperties>
</file>